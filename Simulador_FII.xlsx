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edf9255082a94/Área de Trabalho/curso excel/"/>
    </mc:Choice>
  </mc:AlternateContent>
  <xr:revisionPtr revIDLastSave="0" documentId="8_{3148218B-28C1-41C4-9270-70EB6154DDB2}" xr6:coauthVersionLast="47" xr6:coauthVersionMax="47" xr10:uidLastSave="{00000000-0000-0000-0000-000000000000}"/>
  <bookViews>
    <workbookView xWindow="-120" yWindow="-120" windowWidth="20730" windowHeight="11040" xr2:uid="{03748590-6C02-4E21-908D-4966D9ED53B9}"/>
  </bookViews>
  <sheets>
    <sheet name="Invest_Smart" sheetId="1" r:id="rId1"/>
    <sheet name="Planilha" sheetId="2" r:id="rId2"/>
  </sheets>
  <definedNames>
    <definedName name="aporte">Invest_Smart!$C$19</definedName>
    <definedName name="qtd_anos">Invest_Smart!$C$18</definedName>
    <definedName name="taxa_mensal">Invest_Smart!$C$17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D39" i="1" s="1"/>
  <c r="C35" i="1"/>
  <c r="D35" i="1" s="1"/>
  <c r="C36" i="1"/>
  <c r="D36" i="1" s="1"/>
  <c r="C37" i="1"/>
  <c r="D37" i="1" s="1"/>
  <c r="C38" i="1"/>
  <c r="D38" i="1" s="1"/>
  <c r="C34" i="1"/>
  <c r="D34" i="1" s="1"/>
  <c r="A15" i="2"/>
  <c r="A16" i="2"/>
  <c r="A17" i="2"/>
  <c r="A18" i="2"/>
  <c r="A19" i="2"/>
  <c r="A20" i="2"/>
  <c r="A10" i="2"/>
  <c r="A11" i="2"/>
  <c r="A12" i="2"/>
  <c r="A13" i="2"/>
  <c r="A14" i="2"/>
  <c r="A9" i="2"/>
  <c r="A4" i="2"/>
  <c r="A5" i="2"/>
  <c r="A6" i="2"/>
  <c r="A7" i="2"/>
  <c r="A8" i="2"/>
  <c r="A3" i="2"/>
  <c r="C31" i="1"/>
  <c r="C25" i="1"/>
  <c r="D25" i="1" s="1"/>
  <c r="C26" i="1"/>
  <c r="D26" i="1" s="1"/>
  <c r="C27" i="1"/>
  <c r="D27" i="1" s="1"/>
  <c r="C28" i="1"/>
  <c r="D28" i="1" s="1"/>
  <c r="C24" i="1"/>
  <c r="D24" i="1" s="1"/>
  <c r="C20" i="1"/>
  <c r="C21" i="1" s="1"/>
  <c r="D40" i="1" l="1"/>
  <c r="C14" i="1"/>
</calcChain>
</file>

<file path=xl/sharedStrings.xml><?xml version="1.0" encoding="utf-8"?>
<sst xmlns="http://schemas.openxmlformats.org/spreadsheetml/2006/main" count="69" uniqueCount="33">
  <si>
    <t xml:space="preserve">Salário </t>
  </si>
  <si>
    <t>Rendimento Carteira</t>
  </si>
  <si>
    <t>Sugestão de Investimento (30%)</t>
  </si>
  <si>
    <t>CONFIGURAÇÕES</t>
  </si>
  <si>
    <t>INVESTIMENTO MENSAL</t>
  </si>
  <si>
    <t>Quanto investir pot mês?</t>
  </si>
  <si>
    <t>Por Quantos anos?</t>
  </si>
  <si>
    <t>Taxa de Rendimento Mensal?</t>
  </si>
  <si>
    <t>Dividendos Mensais?</t>
  </si>
  <si>
    <t>Patrimõnio acumulado?</t>
  </si>
  <si>
    <t>Dividendo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</si>
  <si>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</si>
  <si>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</si>
  <si>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</si>
  <si>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</si>
  <si>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</si>
  <si>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</si>
  <si>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</si>
  <si>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</si>
  <si>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</si>
  <si>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</si>
  <si>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</si>
  <si>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</si>
  <si>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</si>
  <si>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</si>
  <si>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</si>
  <si>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</si>
  <si>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</si>
  <si>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Moderado</t>
  </si>
  <si>
    <t>CHAVE</t>
  </si>
  <si>
    <t>%</t>
  </si>
  <si>
    <t>Agressivo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</si>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</sst>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_-&quot;R$&quot;\ * #,##0.00_-;\-&quot;R$&quot;\ * #,##0.00_-;_-&quot;R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669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medium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medium">
        <color theme="2" tint="-0.24994659260841701"/>
      </left>
      <right style="medium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medium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68" fontId="1" fillId="0" borderId="0" applyFont="0" applyFill="0" applyBorder="0" applyAlignment="0" applyProtection="0"/>
  </cellStyleXfs>
  <cellXfs count="45">
    <xf numFmtId="0" fontId="0" fillId="0" borderId="0" xfId="0"/>
    <xf numFmtId="44" fontId="0" fillId="0" borderId="0" xfId="0" applyNumberFormat="1"/>
    <xf numFmtId="10" fontId="0" fillId="0" borderId="0" xfId="0" applyNumberFormat="1"/>
    <xf numFmtId="0" fontId="4" fillId="0" borderId="0" xfId="0" applyFont="1"/>
    <xf numFmtId="0" fontId="7" fillId="5" borderId="1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5" fillId="6" borderId="3" xfId="0" applyFont="1" applyFill="1" applyBorder="1"/>
    <xf numFmtId="0" fontId="5" fillId="6" borderId="5" xfId="0" applyFont="1" applyFill="1" applyBorder="1"/>
    <xf numFmtId="44" fontId="5" fillId="6" borderId="6" xfId="0" applyNumberFormat="1" applyFont="1" applyFill="1" applyBorder="1"/>
    <xf numFmtId="0" fontId="7" fillId="3" borderId="1" xfId="0" applyFont="1" applyFill="1" applyBorder="1"/>
    <xf numFmtId="0" fontId="3" fillId="3" borderId="2" xfId="0" applyFont="1" applyFill="1" applyBorder="1"/>
    <xf numFmtId="0" fontId="5" fillId="4" borderId="8" xfId="0" applyFont="1" applyFill="1" applyBorder="1"/>
    <xf numFmtId="0" fontId="5" fillId="8" borderId="8" xfId="0" applyFont="1" applyFill="1" applyBorder="1"/>
    <xf numFmtId="0" fontId="5" fillId="6" borderId="10" xfId="0" applyFont="1" applyFill="1" applyBorder="1"/>
    <xf numFmtId="0" fontId="5" fillId="6" borderId="12" xfId="0" applyFont="1" applyFill="1" applyBorder="1"/>
    <xf numFmtId="8" fontId="5" fillId="6" borderId="13" xfId="0" applyNumberFormat="1" applyFont="1" applyFill="1" applyBorder="1"/>
    <xf numFmtId="8" fontId="5" fillId="6" borderId="11" xfId="0" applyNumberFormat="1" applyFont="1" applyFill="1" applyBorder="1"/>
    <xf numFmtId="0" fontId="8" fillId="9" borderId="1" xfId="0" applyFont="1" applyFill="1" applyBorder="1" applyAlignment="1">
      <alignment vertical="center"/>
    </xf>
    <xf numFmtId="0" fontId="8" fillId="9" borderId="7" xfId="0" applyFont="1" applyFill="1" applyBorder="1"/>
    <xf numFmtId="0" fontId="6" fillId="9" borderId="2" xfId="0" applyFont="1" applyFill="1" applyBorder="1" applyAlignment="1">
      <alignment horizontal="center" vertical="center"/>
    </xf>
    <xf numFmtId="8" fontId="5" fillId="8" borderId="14" xfId="0" applyNumberFormat="1" applyFont="1" applyFill="1" applyBorder="1"/>
    <xf numFmtId="8" fontId="5" fillId="8" borderId="9" xfId="0" applyNumberFormat="1" applyFont="1" applyFill="1" applyBorder="1"/>
    <xf numFmtId="0" fontId="5" fillId="8" borderId="15" xfId="0" applyFont="1" applyFill="1" applyBorder="1"/>
    <xf numFmtId="8" fontId="5" fillId="8" borderId="16" xfId="0" applyNumberFormat="1" applyFont="1" applyFill="1" applyBorder="1"/>
    <xf numFmtId="8" fontId="5" fillId="8" borderId="17" xfId="0" applyNumberFormat="1" applyFont="1" applyFill="1" applyBorder="1"/>
    <xf numFmtId="0" fontId="9" fillId="4" borderId="0" xfId="0" applyFont="1" applyFill="1" applyBorder="1"/>
    <xf numFmtId="44" fontId="9" fillId="4" borderId="0" xfId="0" applyNumberFormat="1" applyFont="1" applyFill="1" applyBorder="1"/>
    <xf numFmtId="0" fontId="2" fillId="2" borderId="18" xfId="1" applyBorder="1"/>
    <xf numFmtId="0" fontId="0" fillId="0" borderId="0" xfId="0" applyAlignment="1">
      <alignment horizontal="center" vertical="center"/>
    </xf>
    <xf numFmtId="0" fontId="3" fillId="6" borderId="18" xfId="0" applyFont="1" applyFill="1" applyBorder="1"/>
    <xf numFmtId="0" fontId="0" fillId="6" borderId="18" xfId="0" applyFill="1" applyBorder="1"/>
    <xf numFmtId="0" fontId="0" fillId="0" borderId="0" xfId="0" applyBorder="1"/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0" fontId="10" fillId="7" borderId="0" xfId="0" applyNumberFormat="1" applyFont="1" applyFill="1" applyAlignment="1">
      <alignment horizontal="center" vertical="center"/>
    </xf>
    <xf numFmtId="44" fontId="0" fillId="6" borderId="18" xfId="0" applyNumberFormat="1" applyFill="1" applyBorder="1"/>
    <xf numFmtId="44" fontId="5" fillId="0" borderId="4" xfId="0" applyNumberFormat="1" applyFont="1" applyBorder="1" applyProtection="1">
      <protection locked="0"/>
    </xf>
    <xf numFmtId="10" fontId="5" fillId="0" borderId="4" xfId="0" applyNumberFormat="1" applyFont="1" applyBorder="1" applyProtection="1">
      <protection locked="0"/>
    </xf>
    <xf numFmtId="44" fontId="5" fillId="0" borderId="9" xfId="0" applyNumberFormat="1" applyFont="1" applyBorder="1" applyProtection="1">
      <protection locked="0"/>
    </xf>
    <xf numFmtId="1" fontId="5" fillId="0" borderId="9" xfId="0" applyNumberFormat="1" applyFont="1" applyBorder="1" applyProtection="1">
      <protection locked="0"/>
    </xf>
    <xf numFmtId="10" fontId="5" fillId="0" borderId="9" xfId="0" applyNumberFormat="1" applyFont="1" applyFill="1" applyBorder="1" applyProtection="1">
      <protection locked="0"/>
    </xf>
    <xf numFmtId="0" fontId="2" fillId="2" borderId="18" xfId="1" applyBorder="1" applyProtection="1">
      <protection locked="0"/>
    </xf>
  </cellXfs>
  <cellStyles count="3">
    <cellStyle name="Bom" xfId="1" builtinId="26"/>
    <cellStyle name="Moeda 2" xfId="2" xr:uid="{DD6C41B7-D172-420B-B27B-98DBAA329B4E}"/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Invest_Smart!$C$33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E2-4BA9-B639-8115DDDEF6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Invest_Smart!$B$34:$B$39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Invest_Smart!$C$34:$C$39</c:f>
              <c:numCache>
                <c:formatCode>0.00%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2-4BA9-B639-8115DDDEF6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126754</xdr:colOff>
      <xdr:row>0</xdr:row>
      <xdr:rowOff>203689</xdr:rowOff>
    </xdr:from>
    <xdr:to>
      <xdr:col>4</xdr:col>
      <xdr:colOff>322384</xdr:colOff>
      <xdr:row>8</xdr:row>
      <xdr:rowOff>96266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AAE697-FD21-FD6D-720E-CF1004EA2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754" y="203689"/>
          <a:ext cx="5837361" cy="1680346"/>
        </a:xfrm>
        <a:prstGeom prst="rect">
          <a:avLst/>
        </a:prstGeom>
      </xdr:spPr>
    </xdr:pic>
    <xdr:clientData/>
  </xdr:twoCellAnchor>
  <xdr:twoCellAnchor>
    <xdr:from>
      <xdr:col>1</xdr:col>
      <xdr:colOff>150201</xdr:colOff>
      <xdr:row>41</xdr:row>
      <xdr:rowOff>14653</xdr:rowOff>
    </xdr:from>
    <xdr:to>
      <xdr:col>3</xdr:col>
      <xdr:colOff>1084383</xdr:colOff>
      <xdr:row>55</xdr:row>
      <xdr:rowOff>60080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1334B5B-4349-7C20-4691-8FB44782F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97DD-0249-423F-86CE-2D24B23049CF}">
  <dimension ref="A1:D56"/>
  <sheetViews>
    <sheetView showGridLines="0" tabSelected="1" zoomScale="124" zoomScaleNormal="124" workbookViewId="0">
      <selection activeCell="C30" sqref="C30"/>
    </sheetView>
  </sheetViews>
  <sheetFormatPr defaultColWidth="0" defaultRowHeight="15" zeroHeight="1" x14ac:dyDescent="0.25"/>
  <cols>
    <col min="1" max="1" width="4.42578125" customWidth="1"/>
    <col min="2" max="2" width="40.5703125" bestFit="1" customWidth="1"/>
    <col min="3" max="3" width="22.42578125" bestFit="1" customWidth="1"/>
    <col min="4" max="4" width="17.28515625" bestFit="1" customWidth="1"/>
    <col min="5" max="5" width="9.140625" customWidth="1"/>
    <col min="6" max="16384" width="9.140625" hidden="1"/>
  </cols>
  <sheetData>
    <row r="1" spans="2:3" ht="36" customHeight="1" x14ac:dyDescent="0.25"/>
    <row r="2" spans="2:3" x14ac:dyDescent="0.25"/>
    <row r="3" spans="2:3" x14ac:dyDescent="0.25"/>
    <row r="4" spans="2:3" x14ac:dyDescent="0.25"/>
    <row r="5" spans="2:3" x14ac:dyDescent="0.25"/>
    <row r="6" spans="2:3" x14ac:dyDescent="0.25"/>
    <row r="7" spans="2:3" x14ac:dyDescent="0.25"/>
    <row r="8" spans="2:3" x14ac:dyDescent="0.25"/>
    <row r="9" spans="2:3" x14ac:dyDescent="0.25"/>
    <row r="10" spans="2:3" ht="15.75" thickBot="1" x14ac:dyDescent="0.3"/>
    <row r="11" spans="2:3" ht="24.75" customHeight="1" x14ac:dyDescent="0.25">
      <c r="B11" s="4" t="s">
        <v>3</v>
      </c>
      <c r="C11" s="5"/>
    </row>
    <row r="12" spans="2:3" ht="15.75" x14ac:dyDescent="0.25">
      <c r="B12" s="6" t="s">
        <v>0</v>
      </c>
      <c r="C12" s="39">
        <v>2000</v>
      </c>
    </row>
    <row r="13" spans="2:3" ht="15.75" x14ac:dyDescent="0.25">
      <c r="B13" s="6" t="s">
        <v>1</v>
      </c>
      <c r="C13" s="40">
        <v>6.0000000000000001E-3</v>
      </c>
    </row>
    <row r="14" spans="2:3" ht="16.5" thickBot="1" x14ac:dyDescent="0.3">
      <c r="B14" s="7" t="s">
        <v>2</v>
      </c>
      <c r="C14" s="8">
        <f>C12*30%</f>
        <v>600</v>
      </c>
    </row>
    <row r="15" spans="2:3" ht="15.75" thickBot="1" x14ac:dyDescent="0.3"/>
    <row r="16" spans="2:3" ht="26.25" x14ac:dyDescent="0.4">
      <c r="B16" s="9" t="s">
        <v>4</v>
      </c>
      <c r="C16" s="10"/>
    </row>
    <row r="17" spans="1:4" ht="15.75" x14ac:dyDescent="0.25">
      <c r="B17" s="11" t="s">
        <v>5</v>
      </c>
      <c r="C17" s="41">
        <v>500</v>
      </c>
    </row>
    <row r="18" spans="1:4" ht="15.75" x14ac:dyDescent="0.25">
      <c r="B18" s="11" t="s">
        <v>6</v>
      </c>
      <c r="C18" s="42">
        <v>5</v>
      </c>
    </row>
    <row r="19" spans="1:4" ht="15.75" x14ac:dyDescent="0.25">
      <c r="B19" s="11" t="s">
        <v>7</v>
      </c>
      <c r="C19" s="43">
        <v>1.0800000000000001E-2</v>
      </c>
    </row>
    <row r="20" spans="1:4" ht="15.75" x14ac:dyDescent="0.25">
      <c r="B20" s="14" t="s">
        <v>9</v>
      </c>
      <c r="C20" s="15">
        <f>FV(aporte,qtd_anos*12,taxa_mensal*-1)</f>
        <v>41902.00967962922</v>
      </c>
    </row>
    <row r="21" spans="1:4" ht="16.5" thickBot="1" x14ac:dyDescent="0.3">
      <c r="B21" s="13" t="s">
        <v>8</v>
      </c>
      <c r="C21" s="16">
        <f>C20*1%</f>
        <v>419.02009679629219</v>
      </c>
    </row>
    <row r="22" spans="1:4" ht="15.75" thickBot="1" x14ac:dyDescent="0.3"/>
    <row r="23" spans="1:4" ht="26.25" x14ac:dyDescent="0.4">
      <c r="B23" s="17" t="s">
        <v>11</v>
      </c>
      <c r="C23" s="18"/>
      <c r="D23" s="19" t="s">
        <v>10</v>
      </c>
    </row>
    <row r="24" spans="1:4" ht="15.75" x14ac:dyDescent="0.25">
      <c r="A24" s="3">
        <v>2</v>
      </c>
      <c r="B24" s="12" t="s">
        <v>12</v>
      </c>
      <c r="C24" s="20">
        <f>FV(aporte,A24*12,taxa_mensal*-1)</f>
        <v>13615.431830290796</v>
      </c>
      <c r="D24" s="21">
        <f>C24*1%</f>
        <v>136.15431830290797</v>
      </c>
    </row>
    <row r="25" spans="1:4" ht="15.75" x14ac:dyDescent="0.25">
      <c r="A25" s="3">
        <v>5</v>
      </c>
      <c r="B25" s="12" t="s">
        <v>13</v>
      </c>
      <c r="C25" s="20">
        <f>FV(aporte,A25*12,taxa_mensal*-1)</f>
        <v>41902.00967962922</v>
      </c>
      <c r="D25" s="21">
        <f t="shared" ref="D25:D28" si="0">C25*1%</f>
        <v>419.02009679629219</v>
      </c>
    </row>
    <row r="26" spans="1:4" ht="15.75" x14ac:dyDescent="0.25">
      <c r="A26" s="3">
        <v>10</v>
      </c>
      <c r="B26" s="12" t="s">
        <v>14</v>
      </c>
      <c r="C26" s="20">
        <f>FV(aporte,A26*12,taxa_mensal*-1)</f>
        <v>121728.83312740005</v>
      </c>
      <c r="D26" s="21">
        <f t="shared" si="0"/>
        <v>1217.2883312740005</v>
      </c>
    </row>
    <row r="27" spans="1:4" ht="15.75" x14ac:dyDescent="0.25">
      <c r="A27" s="3">
        <v>20</v>
      </c>
      <c r="B27" s="12" t="s">
        <v>15</v>
      </c>
      <c r="C27" s="20">
        <f>FV(aporte,A27*12,taxa_mensal*-1)</f>
        <v>563524.49664926168</v>
      </c>
      <c r="D27" s="21">
        <f t="shared" si="0"/>
        <v>5635.2449664926171</v>
      </c>
    </row>
    <row r="28" spans="1:4" ht="16.5" thickBot="1" x14ac:dyDescent="0.3">
      <c r="A28" s="3">
        <v>30</v>
      </c>
      <c r="B28" s="22" t="s">
        <v>16</v>
      </c>
      <c r="C28" s="23">
        <f>FV(aporte,A28*12,taxa_mensal*-1)</f>
        <v>2166952.4051583759</v>
      </c>
      <c r="D28" s="24">
        <f t="shared" si="0"/>
        <v>21669.524051583758</v>
      </c>
    </row>
    <row r="29" spans="1:4" x14ac:dyDescent="0.25"/>
    <row r="30" spans="1:4" x14ac:dyDescent="0.25">
      <c r="B30" s="27" t="s">
        <v>17</v>
      </c>
      <c r="C30" s="44" t="s">
        <v>32</v>
      </c>
    </row>
    <row r="31" spans="1:4" ht="15.75" x14ac:dyDescent="0.25">
      <c r="B31" s="25" t="s">
        <v>18</v>
      </c>
      <c r="C31" s="26">
        <f>taxa_mensal</f>
        <v>500</v>
      </c>
    </row>
    <row r="32" spans="1:4" x14ac:dyDescent="0.25"/>
    <row r="33" spans="2:4" x14ac:dyDescent="0.25">
      <c r="B33" s="29" t="s">
        <v>19</v>
      </c>
      <c r="C33" s="29" t="s">
        <v>20</v>
      </c>
      <c r="D33" s="29" t="s">
        <v>21</v>
      </c>
    </row>
    <row r="34" spans="2:4" x14ac:dyDescent="0.25">
      <c r="B34" s="28" t="s">
        <v>22</v>
      </c>
      <c r="C34" s="2">
        <f>VLOOKUP($C$30&amp;"-"&amp;B34,Planilha!A3:D20,4,FALSE)</f>
        <v>0.5</v>
      </c>
      <c r="D34" s="1">
        <f>C34*$C$31</f>
        <v>250</v>
      </c>
    </row>
    <row r="35" spans="2:4" x14ac:dyDescent="0.25">
      <c r="B35" s="28" t="s">
        <v>23</v>
      </c>
      <c r="C35" s="2">
        <f>VLOOKUP($C$30&amp;"-"&amp;B35,Planilha!A4:D21,4,FALSE)</f>
        <v>0.1</v>
      </c>
      <c r="D35" s="1">
        <f t="shared" ref="D35:D39" si="1">C35*$C$31</f>
        <v>50</v>
      </c>
    </row>
    <row r="36" spans="2:4" x14ac:dyDescent="0.25">
      <c r="B36" s="28" t="s">
        <v>24</v>
      </c>
      <c r="C36" s="2">
        <f>VLOOKUP($C$30&amp;"-"&amp;B36,Planilha!A5:D22,4,FALSE)</f>
        <v>0.05</v>
      </c>
      <c r="D36" s="1">
        <f t="shared" si="1"/>
        <v>25</v>
      </c>
    </row>
    <row r="37" spans="2:4" x14ac:dyDescent="0.25">
      <c r="B37" s="28" t="s">
        <v>25</v>
      </c>
      <c r="C37" s="2">
        <f>VLOOKUP($C$30&amp;"-"&amp;B37,Planilha!A6:D23,4,FALSE)</f>
        <v>0.05</v>
      </c>
      <c r="D37" s="1">
        <f t="shared" si="1"/>
        <v>25</v>
      </c>
    </row>
    <row r="38" spans="2:4" x14ac:dyDescent="0.25">
      <c r="B38" s="28" t="s">
        <v>26</v>
      </c>
      <c r="C38" s="2">
        <f>VLOOKUP($C$30&amp;"-"&amp;B38,Planilha!A7:D24,4,FALSE)</f>
        <v>0.2</v>
      </c>
      <c r="D38" s="1">
        <f t="shared" si="1"/>
        <v>100</v>
      </c>
    </row>
    <row r="39" spans="2:4" x14ac:dyDescent="0.25">
      <c r="B39" s="28" t="s">
        <v>27</v>
      </c>
      <c r="C39" s="2">
        <f>VLOOKUP($C$30&amp;"-"&amp;B39,Planilha!A8:D25,4,FALSE)</f>
        <v>0.1</v>
      </c>
      <c r="D39" s="1">
        <f t="shared" si="1"/>
        <v>50</v>
      </c>
    </row>
    <row r="40" spans="2:4" x14ac:dyDescent="0.25">
      <c r="B40" s="30"/>
      <c r="C40" s="30"/>
      <c r="D40" s="38">
        <f>SUM(D34:D39)</f>
        <v>500</v>
      </c>
    </row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</sheetData>
  <sheetProtection sheet="1" objects="1" scenarios="1" selectLockedCells="1"/>
  <mergeCells count="1">
    <mergeCell ref="B11:C11"/>
  </mergeCells>
  <dataValidations count="1">
    <dataValidation type="list" allowBlank="1" showInputMessage="1" showErrorMessage="1" sqref="C30" xr:uid="{60D948F8-BD73-4AFE-9B46-9C06B5942719}">
      <formula1>"Moderado,Agressivo,Conservador"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BDA3-A6CA-4328-8082-42D233CE4EAF}">
  <dimension ref="A2:F20"/>
  <sheetViews>
    <sheetView topLeftCell="A9" zoomScale="96" zoomScaleNormal="96" workbookViewId="0">
      <selection activeCell="F7" sqref="F7"/>
    </sheetView>
  </sheetViews>
  <sheetFormatPr defaultRowHeight="15" x14ac:dyDescent="0.25"/>
  <cols>
    <col min="1" max="1" width="28.5703125" bestFit="1" customWidth="1"/>
    <col min="2" max="2" width="12.140625" bestFit="1" customWidth="1"/>
    <col min="3" max="3" width="18.5703125" bestFit="1" customWidth="1"/>
    <col min="4" max="4" width="7.85546875" style="2" bestFit="1" customWidth="1"/>
  </cols>
  <sheetData>
    <row r="2" spans="1:4" ht="18.75" x14ac:dyDescent="0.25">
      <c r="A2" s="36" t="s">
        <v>29</v>
      </c>
      <c r="B2" s="36" t="s">
        <v>17</v>
      </c>
      <c r="C2" s="36" t="s">
        <v>19</v>
      </c>
      <c r="D2" s="37" t="s">
        <v>30</v>
      </c>
    </row>
    <row r="3" spans="1:4" ht="15.75" x14ac:dyDescent="0.25">
      <c r="A3" s="32" t="str">
        <f>B3&amp;"-"&amp;Invest_Smart!B34</f>
        <v>Moderado-PAPEL</v>
      </c>
      <c r="B3" s="32" t="s">
        <v>28</v>
      </c>
      <c r="C3" s="32" t="s">
        <v>22</v>
      </c>
      <c r="D3" s="33">
        <v>0.3</v>
      </c>
    </row>
    <row r="4" spans="1:4" ht="15.75" x14ac:dyDescent="0.25">
      <c r="A4" s="32" t="str">
        <f>B4&amp;"-"&amp;Invest_Smart!B35</f>
        <v>Moderado-TIJOLO</v>
      </c>
      <c r="B4" s="32" t="s">
        <v>28</v>
      </c>
      <c r="C4" s="32" t="s">
        <v>23</v>
      </c>
      <c r="D4" s="33">
        <v>0.5</v>
      </c>
    </row>
    <row r="5" spans="1:4" ht="15.75" x14ac:dyDescent="0.25">
      <c r="A5" s="32" t="str">
        <f>B5&amp;"-"&amp;Invest_Smart!B36</f>
        <v>Moderado-HÍBRIDOS</v>
      </c>
      <c r="B5" s="32" t="s">
        <v>28</v>
      </c>
      <c r="C5" s="32" t="s">
        <v>24</v>
      </c>
      <c r="D5" s="33">
        <v>0.1</v>
      </c>
    </row>
    <row r="6" spans="1:4" ht="15.75" x14ac:dyDescent="0.25">
      <c r="A6" s="32" t="str">
        <f>B6&amp;"-"&amp;Invest_Smart!B37</f>
        <v>Moderado-FOFs</v>
      </c>
      <c r="B6" s="32" t="s">
        <v>28</v>
      </c>
      <c r="C6" s="32" t="s">
        <v>25</v>
      </c>
      <c r="D6" s="33">
        <v>0.1</v>
      </c>
    </row>
    <row r="7" spans="1:4" ht="15.75" x14ac:dyDescent="0.25">
      <c r="A7" s="32" t="str">
        <f>B7&amp;"-"&amp;Invest_Smart!B38</f>
        <v>Moderado-DESENVOLVIMENTO</v>
      </c>
      <c r="B7" s="32" t="s">
        <v>28</v>
      </c>
      <c r="C7" s="32" t="s">
        <v>26</v>
      </c>
      <c r="D7" s="33">
        <v>0</v>
      </c>
    </row>
    <row r="8" spans="1:4" ht="15.75" x14ac:dyDescent="0.25">
      <c r="A8" s="34" t="str">
        <f>B8&amp;"-"&amp;Invest_Smart!B39</f>
        <v>Moderado-HOTELARIAS</v>
      </c>
      <c r="B8" s="34" t="s">
        <v>28</v>
      </c>
      <c r="C8" s="34" t="s">
        <v>27</v>
      </c>
      <c r="D8" s="35">
        <v>0</v>
      </c>
    </row>
    <row r="9" spans="1:4" ht="15.75" x14ac:dyDescent="0.25">
      <c r="A9" s="32" t="str">
        <f>B9&amp;"-"&amp;C9</f>
        <v>Agressivo-PAPEL</v>
      </c>
      <c r="B9" s="32" t="s">
        <v>31</v>
      </c>
      <c r="C9" s="32" t="s">
        <v>22</v>
      </c>
      <c r="D9" s="33">
        <v>0.32</v>
      </c>
    </row>
    <row r="10" spans="1:4" ht="15.75" x14ac:dyDescent="0.25">
      <c r="A10" s="32" t="str">
        <f t="shared" ref="A10:A20" si="0">B10&amp;"-"&amp;C10</f>
        <v>Agressivo-TIJOLO</v>
      </c>
      <c r="B10" s="32" t="s">
        <v>31</v>
      </c>
      <c r="C10" s="32" t="s">
        <v>23</v>
      </c>
      <c r="D10" s="33">
        <v>0.35</v>
      </c>
    </row>
    <row r="11" spans="1:4" ht="15.75" x14ac:dyDescent="0.25">
      <c r="A11" s="32" t="str">
        <f t="shared" si="0"/>
        <v>Agressivo-HÍBRIDOS</v>
      </c>
      <c r="B11" s="32" t="s">
        <v>31</v>
      </c>
      <c r="C11" s="32" t="s">
        <v>24</v>
      </c>
      <c r="D11" s="33">
        <v>0.08</v>
      </c>
    </row>
    <row r="12" spans="1:4" ht="15.75" x14ac:dyDescent="0.25">
      <c r="A12" s="32" t="str">
        <f t="shared" si="0"/>
        <v>Agressivo-FOFs</v>
      </c>
      <c r="B12" s="32" t="s">
        <v>31</v>
      </c>
      <c r="C12" s="32" t="s">
        <v>25</v>
      </c>
      <c r="D12" s="33">
        <v>0.05</v>
      </c>
    </row>
    <row r="13" spans="1:4" ht="15.75" x14ac:dyDescent="0.25">
      <c r="A13" s="32" t="str">
        <f t="shared" si="0"/>
        <v>Agressivo-DESENVOLVIMENTO</v>
      </c>
      <c r="B13" s="32" t="s">
        <v>31</v>
      </c>
      <c r="C13" s="32" t="s">
        <v>26</v>
      </c>
      <c r="D13" s="33">
        <v>0.1</v>
      </c>
    </row>
    <row r="14" spans="1:4" ht="15.75" x14ac:dyDescent="0.25">
      <c r="A14" s="34" t="str">
        <f t="shared" si="0"/>
        <v>Agressivo-HOTELARIAS</v>
      </c>
      <c r="B14" s="34" t="s">
        <v>31</v>
      </c>
      <c r="C14" s="34" t="s">
        <v>27</v>
      </c>
      <c r="D14" s="35">
        <v>0.1</v>
      </c>
    </row>
    <row r="15" spans="1:4" ht="15.75" x14ac:dyDescent="0.25">
      <c r="A15" s="32" t="str">
        <f t="shared" si="0"/>
        <v>Conservador-PAPEL</v>
      </c>
      <c r="B15" s="32" t="s">
        <v>32</v>
      </c>
      <c r="C15" s="32" t="s">
        <v>22</v>
      </c>
      <c r="D15" s="33">
        <v>0.5</v>
      </c>
    </row>
    <row r="16" spans="1:4" ht="15.75" x14ac:dyDescent="0.25">
      <c r="A16" s="32" t="str">
        <f t="shared" si="0"/>
        <v>Conservador-TIJOLO</v>
      </c>
      <c r="B16" s="32" t="s">
        <v>32</v>
      </c>
      <c r="C16" s="32" t="s">
        <v>23</v>
      </c>
      <c r="D16" s="33">
        <v>0.1</v>
      </c>
    </row>
    <row r="17" spans="1:6" ht="15.75" x14ac:dyDescent="0.25">
      <c r="A17" s="32" t="str">
        <f t="shared" si="0"/>
        <v>Conservador-HÍBRIDOS</v>
      </c>
      <c r="B17" s="32" t="s">
        <v>32</v>
      </c>
      <c r="C17" s="32" t="s">
        <v>24</v>
      </c>
      <c r="D17" s="33">
        <v>0.05</v>
      </c>
    </row>
    <row r="18" spans="1:6" ht="15.75" x14ac:dyDescent="0.25">
      <c r="A18" s="32" t="str">
        <f t="shared" si="0"/>
        <v>Conservador-FOFs</v>
      </c>
      <c r="B18" s="32" t="s">
        <v>32</v>
      </c>
      <c r="C18" s="32" t="s">
        <v>25</v>
      </c>
      <c r="D18" s="33">
        <v>0.05</v>
      </c>
    </row>
    <row r="19" spans="1:6" ht="15.75" x14ac:dyDescent="0.25">
      <c r="A19" s="32" t="str">
        <f t="shared" si="0"/>
        <v>Conservador-DESENVOLVIMENTO</v>
      </c>
      <c r="B19" s="32" t="s">
        <v>32</v>
      </c>
      <c r="C19" s="32" t="s">
        <v>26</v>
      </c>
      <c r="D19" s="33">
        <v>0.2</v>
      </c>
      <c r="F19" s="31"/>
    </row>
    <row r="20" spans="1:6" ht="15.75" x14ac:dyDescent="0.25">
      <c r="A20" s="34" t="str">
        <f t="shared" si="0"/>
        <v>Conservador-HOTELARIAS</v>
      </c>
      <c r="B20" s="34" t="s">
        <v>32</v>
      </c>
      <c r="C20" s="34" t="s">
        <v>27</v>
      </c>
      <c r="D20" s="3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Invest_Smart</vt:lpstr>
      <vt:lpstr>Planilha</vt:lpstr>
      <vt:lpstr>aporte</vt:lpstr>
      <vt:lpstr>qtd_anos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Yuki</dc:creator>
  <cp:lastModifiedBy>Cristina Yuki</cp:lastModifiedBy>
  <dcterms:created xsi:type="dcterms:W3CDTF">2026-02-04T18:26:13Z</dcterms:created>
  <dcterms:modified xsi:type="dcterms:W3CDTF">2026-02-04T21:14:15Z</dcterms:modified>
</cp:coreProperties>
</file>